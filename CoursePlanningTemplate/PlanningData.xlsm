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0A Rocket Motion\CoursePlanningTemplate\"/>
    </mc:Choice>
  </mc:AlternateContent>
  <xr:revisionPtr revIDLastSave="0" documentId="13_ncr:1_{1F845E75-CC7F-448A-BF72-38B4B832405B}" xr6:coauthVersionLast="44" xr6:coauthVersionMax="44" xr10:uidLastSave="{00000000-0000-0000-0000-000000000000}"/>
  <bookViews>
    <workbookView xWindow="-120" yWindow="-120" windowWidth="24240" windowHeight="13740" tabRatio="909" activeTab="4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Exam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Assignments!$A$1:$I$3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1" i="9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<sst xmlns="http://schemas.openxmlformats.org/spreadsheetml/2006/main" count="203" uniqueCount="90">
  <si>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</si>
  <si>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</si>
  <si>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</si>
  <si>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</si>
  <si>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</si>
  <si>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</si>
  <si>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</si>
  <si>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</si>
  <si>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</si>
  <si>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</si>
  <si>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</si>
  <si>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</si>
  <si>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</si>
  <si>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</si>
  <si>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</si>
  <si>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</si>
  <si>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</si>
  <si>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</si>
  <si>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</si>
  <si>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</si>
  <si>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</si>
  <si>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</si>
  <si>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</si>
  <si>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</si>
  <si>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</si>
  <si>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</si>
  <si>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</si>
  <si>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</si>
  <si>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</si>
  <si>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</si>
  <si>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</si>
  <si>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</si>
  <si>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</si>
  <si>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</si>
  <si>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</si>
  <si>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</si>
  <si>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</si>
  <si>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</si>
  <si>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</si>
  <si>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</si>
  <si>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</si>
  <si>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Balistic spherical flight range  angle phi_0</t>
  </si>
  <si>
    <t>SampleExam</t>
  </si>
  <si>
    <t>re-entry</t>
  </si>
  <si>
    <t>Re-entry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</si>
  <si>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</si>
  <si>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</si>
  <si>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</si>
  <si>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</si>
  <si>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</si>
  <si>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</si>
  <si>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</si>
  <si>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</si>
  <si>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</si>
  <si>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</si>
  <si>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</si>
  <si>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</si>
  <si>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</si>
  <si>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</si>
  <si>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</si>
  <si>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</si>
  <si>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</si>
  <si>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</si>
  <si>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</si>
  <si>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</si>
  <si>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</si>
  <si>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</si>
  <si>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</si>
  <si>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</si>
  <si>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uni.rocket</t>
  </si>
  <si>
    <t>mass. construction mass. V_e.id</t>
  </si>
  <si>
    <t>Wind. constant thrust EOM vert. motion</t>
  </si>
  <si>
    <t>EOM vertical flight. mass.accel. multistage.V(Height)</t>
  </si>
  <si>
    <t>Design traject.throtle control law.energy gain</t>
  </si>
  <si>
    <t>Spherical. gamma_0.psi_0.derive</t>
  </si>
  <si>
    <t>Vertic Flight. V(height).</t>
  </si>
  <si>
    <t>Spherical.elipse Polar.alt.inclination</t>
  </si>
  <si>
    <t>Multi stage.Vend. limit case infinte nr of stages</t>
  </si>
  <si>
    <t>EOM. rail launch.flight path angle gamma_0</t>
  </si>
  <si>
    <t>EOM. orb period.Inertial launch params</t>
  </si>
  <si>
    <t>Multi stage. EOM vert flight.mass</t>
  </si>
  <si>
    <t>V(height).alts.Multistage</t>
  </si>
  <si>
    <t>Spherical.Flight range phi_0</t>
  </si>
  <si>
    <t>mass.V_burnout.V(height)</t>
  </si>
  <si>
    <t>Non rotating Spherical.elips.polar.law of conserv</t>
  </si>
  <si>
    <t>T_constant.EOM vertical derive</t>
  </si>
  <si>
    <t>Re-entry/ballistic flight.velocity.fligth path gamma</t>
  </si>
  <si>
    <t>Inertial. Reference frame.Orbital period</t>
  </si>
  <si>
    <t>Mass.V(heights)</t>
  </si>
  <si>
    <t>Multistage.mass.v.lambda.diameter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</si>
</sst>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6</xdr:row>
          <xdr:rowOff>104775</xdr:rowOff>
        </xdr:from>
        <xdr:to>
          <xdr:col>8</xdr:col>
          <xdr:colOff>171450</xdr:colOff>
          <xdr:row>23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in all the course data.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generate my course planning overview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 taskwarrior commands.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N8" sqref="N8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66</v>
      </c>
      <c r="B1" t="s">
        <v>68</v>
      </c>
      <c r="C1" t="s">
        <v>67</v>
      </c>
    </row>
    <row r="2" spans="1:3" x14ac:dyDescent="0.25">
      <c r="C2" t="s">
        <v>69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295275</xdr:colOff>
                    <xdr:row>6</xdr:row>
                    <xdr:rowOff>104775</xdr:rowOff>
                  </from>
                  <to>
                    <xdr:col>8</xdr:col>
                    <xdr:colOff>171450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2" t="s">
        <v>46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2" t="s">
        <v>47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2" t="s">
        <v>48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2" t="s">
        <v>49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2" t="s">
        <v>50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2" t="s">
        <v>51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2" t="s">
        <v>52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2" t="s">
        <v>53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2" t="s">
        <v>54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2" t="s">
        <v>55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2" t="s">
        <v>56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2" t="s">
        <v>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2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2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2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workbookViewId="0">
      <selection activeCell="C30" sqref="C30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2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2" t="s">
        <v>58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2" t="s">
        <v>58</v>
      </c>
      <c r="E3">
        <v>4</v>
      </c>
      <c r="F3">
        <v>2</v>
      </c>
      <c r="G3">
        <v>30</v>
      </c>
      <c r="H3" t="s">
        <v>70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2" t="s">
        <v>58</v>
      </c>
      <c r="E4">
        <v>4</v>
      </c>
      <c r="F4">
        <v>3</v>
      </c>
      <c r="G4">
        <v>30</v>
      </c>
      <c r="H4" t="s">
        <v>41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2" t="s">
        <v>58</v>
      </c>
      <c r="E5">
        <v>4</v>
      </c>
      <c r="F5">
        <v>4</v>
      </c>
      <c r="G5">
        <v>30</v>
      </c>
      <c r="H5" t="s">
        <v>71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2" t="s">
        <v>59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2" t="s">
        <v>59</v>
      </c>
      <c r="E7">
        <v>4</v>
      </c>
      <c r="F7">
        <v>2</v>
      </c>
      <c r="G7">
        <v>30</v>
      </c>
      <c r="H7" t="s">
        <v>72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2" t="s">
        <v>59</v>
      </c>
      <c r="E8">
        <v>4</v>
      </c>
      <c r="F8">
        <v>3</v>
      </c>
      <c r="G8">
        <v>30</v>
      </c>
      <c r="H8" t="s">
        <v>73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2" t="s">
        <v>59</v>
      </c>
      <c r="E9">
        <v>4</v>
      </c>
      <c r="F9">
        <v>4</v>
      </c>
      <c r="G9">
        <v>30</v>
      </c>
      <c r="H9" t="s">
        <v>74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2" t="s">
        <v>42</v>
      </c>
      <c r="E10">
        <v>6</v>
      </c>
      <c r="F10">
        <v>1</v>
      </c>
      <c r="G10">
        <v>15</v>
      </c>
      <c r="H10" t="s">
        <v>75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2" t="s">
        <v>42</v>
      </c>
      <c r="E11">
        <v>6</v>
      </c>
      <c r="F11">
        <v>2</v>
      </c>
      <c r="G11">
        <v>15</v>
      </c>
      <c r="H11" t="s">
        <v>76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2" t="s">
        <v>42</v>
      </c>
      <c r="E12">
        <v>6</v>
      </c>
      <c r="F12">
        <v>3</v>
      </c>
      <c r="G12">
        <v>15</v>
      </c>
      <c r="H12" t="s">
        <v>77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2" t="s">
        <v>42</v>
      </c>
      <c r="E13">
        <v>6</v>
      </c>
      <c r="F13">
        <v>4</v>
      </c>
      <c r="G13">
        <v>15</v>
      </c>
      <c r="H13" t="s">
        <v>78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2" t="s">
        <v>42</v>
      </c>
      <c r="E14">
        <v>6</v>
      </c>
      <c r="F14">
        <v>5</v>
      </c>
      <c r="G14">
        <v>15</v>
      </c>
      <c r="H14" t="s">
        <v>79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2" t="s">
        <v>42</v>
      </c>
      <c r="E15">
        <v>6</v>
      </c>
      <c r="F15">
        <v>6</v>
      </c>
      <c r="G15">
        <v>15</v>
      </c>
      <c r="H15" t="s">
        <v>80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2" t="s">
        <v>60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2" t="s">
        <v>60</v>
      </c>
      <c r="E17">
        <v>4</v>
      </c>
      <c r="F17">
        <v>2</v>
      </c>
      <c r="G17">
        <v>30</v>
      </c>
      <c r="H17" t="s">
        <v>80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2" t="s">
        <v>60</v>
      </c>
      <c r="E18">
        <v>4</v>
      </c>
      <c r="F18">
        <v>3</v>
      </c>
      <c r="G18">
        <v>30</v>
      </c>
      <c r="H18" t="s">
        <v>81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2" t="s">
        <v>60</v>
      </c>
      <c r="E19">
        <v>4</v>
      </c>
      <c r="F19">
        <v>4</v>
      </c>
      <c r="G19">
        <v>30</v>
      </c>
      <c r="H19" t="s">
        <v>82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5</v>
      </c>
      <c r="D20" s="2" t="s">
        <v>61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5</v>
      </c>
      <c r="D21" s="2" t="s">
        <v>61</v>
      </c>
      <c r="E21">
        <v>4</v>
      </c>
      <c r="F21">
        <v>2</v>
      </c>
      <c r="G21">
        <v>30</v>
      </c>
      <c r="H21" t="s">
        <v>83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5</v>
      </c>
      <c r="D22" s="2" t="s">
        <v>61</v>
      </c>
      <c r="E22">
        <v>4</v>
      </c>
      <c r="F22">
        <v>3</v>
      </c>
      <c r="G22">
        <v>30</v>
      </c>
      <c r="H22" t="s">
        <v>84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5</v>
      </c>
      <c r="D23" s="2" t="s">
        <v>61</v>
      </c>
      <c r="E23">
        <v>4</v>
      </c>
      <c r="F23">
        <v>4</v>
      </c>
      <c r="G23">
        <v>30</v>
      </c>
      <c r="H23" t="s">
        <v>85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6</v>
      </c>
      <c r="D24" s="2" t="s">
        <v>62</v>
      </c>
      <c r="E24">
        <v>2</v>
      </c>
      <c r="F24">
        <v>1</v>
      </c>
      <c r="G24">
        <v>50</v>
      </c>
      <c r="H24" t="s">
        <v>86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6</v>
      </c>
      <c r="D25" s="2" t="s">
        <v>62</v>
      </c>
      <c r="E25">
        <v>2</v>
      </c>
      <c r="F25">
        <v>2</v>
      </c>
      <c r="G25">
        <v>50</v>
      </c>
      <c r="H25" t="s">
        <v>87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7</v>
      </c>
      <c r="D26" s="2" t="s">
        <v>63</v>
      </c>
      <c r="E26">
        <v>2</v>
      </c>
      <c r="F26">
        <v>1</v>
      </c>
      <c r="G26">
        <v>50</v>
      </c>
      <c r="H26" t="s">
        <v>88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7</v>
      </c>
      <c r="D27" s="2" t="s">
        <v>63</v>
      </c>
      <c r="E27">
        <v>2</v>
      </c>
      <c r="F27">
        <v>2</v>
      </c>
      <c r="G27">
        <v>50</v>
      </c>
      <c r="H27" t="s">
        <v>43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8</v>
      </c>
      <c r="D28" s="2" t="s">
        <v>64</v>
      </c>
      <c r="E28">
        <v>2</v>
      </c>
      <c r="F28">
        <v>1</v>
      </c>
      <c r="G28">
        <v>50</v>
      </c>
      <c r="H28" t="s">
        <v>44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8</v>
      </c>
      <c r="D29" s="2" t="s">
        <v>64</v>
      </c>
      <c r="E29">
        <v>2</v>
      </c>
      <c r="F29">
        <v>2</v>
      </c>
      <c r="G29">
        <v>50</v>
      </c>
      <c r="H29" t="s">
        <v>89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B2886ACD-8183-4AC3-A503-06680A15D3FF}"/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A8CD3-2319-4EB4-ADAB-F9252FBA1AA0}">
  <dimension ref="A1:B8"/>
  <sheetViews>
    <sheetView tabSelected="1" workbookViewId="0">
      <selection activeCell="B1" sqref="B1:B8"/>
    </sheetView>
  </sheetViews>
  <sheetFormatPr defaultRowHeight="15" x14ac:dyDescent="0.25"/>
  <sheetData>
    <row r="1" spans="1:2" x14ac:dyDescent="0.25">
      <c r="A1" s="2" t="s">
        <v>58</v>
      </c>
      <c r="B1" t="str">
        <f>CONCATENATE("mkdir ",A1)</f>
        <v>mkdir 2014-10-28</v>
      </c>
    </row>
    <row r="2" spans="1:2" x14ac:dyDescent="0.25">
      <c r="A2" s="2" t="s">
        <v>59</v>
      </c>
      <c r="B2" t="str">
        <f t="shared" ref="B2:B8" si="0">CONCATENATE("mkdir ",A2)</f>
        <v>mkdir 2015-10-27</v>
      </c>
    </row>
    <row r="3" spans="1:2" x14ac:dyDescent="0.25">
      <c r="A3" s="2" t="s">
        <v>42</v>
      </c>
      <c r="B3" t="str">
        <f t="shared" si="0"/>
        <v>mkdir SampleExam</v>
      </c>
    </row>
    <row r="4" spans="1:2" x14ac:dyDescent="0.25">
      <c r="A4" s="2" t="s">
        <v>60</v>
      </c>
      <c r="B4" t="str">
        <f t="shared" si="0"/>
        <v>mkdir 2016-10-31</v>
      </c>
    </row>
    <row r="5" spans="1:2" x14ac:dyDescent="0.25">
      <c r="A5" s="2" t="s">
        <v>61</v>
      </c>
      <c r="B5" t="str">
        <f t="shared" si="0"/>
        <v>mkdir 2017-10-30</v>
      </c>
    </row>
    <row r="6" spans="1:2" x14ac:dyDescent="0.25">
      <c r="A6" s="2" t="s">
        <v>62</v>
      </c>
      <c r="B6" t="str">
        <f t="shared" si="0"/>
        <v>mkdir 2010-06-28</v>
      </c>
    </row>
    <row r="7" spans="1:2" x14ac:dyDescent="0.25">
      <c r="A7" s="2" t="s">
        <v>63</v>
      </c>
      <c r="B7" t="str">
        <f t="shared" si="0"/>
        <v>mkdir 2009-06-18</v>
      </c>
    </row>
    <row r="8" spans="1:2" x14ac:dyDescent="0.25">
      <c r="A8" s="2" t="s">
        <v>64</v>
      </c>
      <c r="B8" t="str">
        <f t="shared" si="0"/>
        <v>mkdir 2009-01-20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2" t="s">
        <v>45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4" sqref="A4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12</v>
      </c>
      <c r="C1" t="s">
        <v>13</v>
      </c>
      <c r="D1" t="s">
        <v>14</v>
      </c>
    </row>
    <row r="2" spans="1:4" x14ac:dyDescent="0.25">
      <c r="A2" s="2" t="s">
        <v>65</v>
      </c>
      <c r="C2">
        <v>3</v>
      </c>
      <c r="D2">
        <v>90</v>
      </c>
    </row>
  </sheetData>
  <autoFilter ref="A1:D2" xr:uid="{741F2507-FF82-4A0A-B130-3205E06EA075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CreateExamSolutionStructure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2019-09-23T16:16:14Z</dcterms:modified>
</cp:coreProperties>
</file>