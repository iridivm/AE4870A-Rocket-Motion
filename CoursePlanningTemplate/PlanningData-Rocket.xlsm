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git\Public\AE4870A-Rocket-Motion\CoursePlanningTemplate\"/>
    </mc:Choice>
  </mc:AlternateContent>
  <xr:revisionPtr revIDLastSave="0" documentId="13_ncr:1_{EB57FE5A-5967-4FB7-AB16-A3C50D909C05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" i="3" l="1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2CD07A00-A080-490C-87FD-4BDD7E6DE12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39F71069-BCBD-408C-918B-C66DE2F77A6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9AA8A556-5A76-4A82-A7F7-6B561AFD565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4B4BB7F-F5C5-447A-B07B-C837065CE910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<sst xmlns="http://schemas.openxmlformats.org/spreadsheetml/2006/main" count="249" uniqueCount="108">
  <si>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</si>
  <si>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</si>
  <si>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</si>
  <si>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</si>
  <si>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</si>
  <si>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</si>
  <si>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</si>
  <si>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</si>
  <si>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</si>
  <si>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</si>
  <si>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</si>
  <si>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</si>
  <si>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</si>
  <si>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</si>
  <si>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</si>
  <si>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</si>
  <si>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</si>
  <si>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</si>
  <si>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</si>
  <si>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</si>
  <si>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</si>
  <si>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</si>
  <si>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</si>
  <si>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</si>
  <si>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</si>
  <si>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</si>
  <si>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</si>
  <si>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</si>
  <si>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</si>
  <si>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</si>
  <si>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</si>
  <si>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</si>
  <si>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</si>
  <si>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</si>
  <si>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</si>
  <si>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</si>
  <si>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</si>
  <si>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</si>
  <si>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</si>
  <si>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</si>
  <si>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</si>
  <si>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</si>
  <si>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</si>
  <si>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</si>
  <si>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</si>
  <si>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</si>
  <si>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</si>
  <si>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</si>
  <si>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</si>
  <si>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</si>
  <si>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</si>
  <si>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</si>
  <si>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</si>
  <si>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</si>
  <si>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</si>
  <si>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</si>
  <si>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</si>
  <si>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</si>
  <si>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</si>
  <si>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</si>
  <si>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</si>
  <si>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</si>
  <si>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</si>
  <si>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</si>
  <si>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</si>
  <si>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</si>
  <si>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</si>
  <si>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</si>
  <si>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</si>
  <si>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Wind. constant thrust EOM vert. motion</t>
  </si>
  <si>
    <t>EOM vertical flight. mass.accel. multistage.V(Height)</t>
  </si>
  <si>
    <t>Design traject.throtle control law.energy gain</t>
  </si>
  <si>
    <t>Vertic Flight. V(height).</t>
  </si>
  <si>
    <t>Spherical.elipse Polar.alt.inclination</t>
  </si>
  <si>
    <t>Multi stage.Vend. limit case infinte nr of stages</t>
  </si>
  <si>
    <t>EOM. orb period.Inertial launch params</t>
  </si>
  <si>
    <t>Multi stage. EOM vert flight.mass</t>
  </si>
  <si>
    <t>V(height).alts.Multistage</t>
  </si>
  <si>
    <t>Non rotating Spherical.elips.polar.law of conserv</t>
  </si>
  <si>
    <t>Re-entry/ballistic flight.velocity.fligth path gamma</t>
  </si>
  <si>
    <t>Inertial. Reference frame.Orbital period</t>
  </si>
  <si>
    <t>Mass.V(heights)</t>
  </si>
  <si>
    <t>Multistage.mass.v.lambda.diameter</t>
  </si>
  <si>
    <t>AE4870A</t>
  </si>
  <si>
    <t>Rocket Motion</t>
  </si>
  <si>
    <t>mass. construction mass. V-e.id</t>
  </si>
  <si>
    <t>Balistic spherical flight range  angle phi-0</t>
  </si>
  <si>
    <t>Spherical. gamma-0.psi-0.derive</t>
  </si>
  <si>
    <t>EOM. rail launch.flight path angle gamma-0</t>
  </si>
  <si>
    <t>Spherical.Flight range phi-0</t>
  </si>
  <si>
    <t>mass.V-burnout.V(height)</t>
  </si>
  <si>
    <t>T-constant.EOM vertical derive</t>
  </si>
  <si>
    <t>A</t>
  </si>
  <si>
    <t>B</t>
  </si>
  <si>
    <t>C</t>
  </si>
  <si>
    <t>E</t>
  </si>
  <si>
    <t>Allocated to:</t>
  </si>
  <si>
    <t>a-g</t>
  </si>
  <si>
    <t>no</t>
  </si>
  <si>
    <t>?</t>
  </si>
  <si>
    <t>F</t>
  </si>
  <si>
    <t>D(1)</t>
  </si>
  <si>
    <t>Sol. In drive</t>
  </si>
  <si>
    <t>Comments:</t>
  </si>
  <si>
    <t>lang</t>
  </si>
  <si>
    <t>H</t>
  </si>
  <si>
    <t>missing e-h</t>
  </si>
  <si>
    <t>missing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</si>
</sst>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6</xdr:row>
          <xdr:rowOff>104775</xdr:rowOff>
        </xdr:from>
        <xdr:to>
          <xdr:col>2</xdr:col>
          <xdr:colOff>590550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15</xdr:row>
          <xdr:rowOff>180975</xdr:rowOff>
        </xdr:from>
        <xdr:to>
          <xdr:col>3</xdr:col>
          <xdr:colOff>0</xdr:colOff>
          <xdr:row>22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latex exam solution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6" sqref="A6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65</v>
      </c>
      <c r="B1" t="s">
        <v>67</v>
      </c>
      <c r="C1" t="s">
        <v>66</v>
      </c>
    </row>
    <row r="2" spans="1:3" x14ac:dyDescent="0.25">
      <c r="A2" t="s">
        <v>84</v>
      </c>
      <c r="B2" t="s">
        <v>83</v>
      </c>
      <c r="C2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295275</xdr:colOff>
                    <xdr:row>6</xdr:row>
                    <xdr:rowOff>104775</xdr:rowOff>
                  </from>
                  <to>
                    <xdr:col>2</xdr:col>
                    <xdr:colOff>590550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314325</xdr:colOff>
                    <xdr:row>15</xdr:row>
                    <xdr:rowOff>180975</xdr:rowOff>
                  </from>
                  <to>
                    <xdr:col>3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45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46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47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48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49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50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51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52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53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54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55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E5EC5CBB-8C68-4DC2-9F8C-9D5992B5279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2" workbookViewId="0">
      <selection activeCell="D28" sqref="D28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  <col min="11" max="11" width="13.5703125" customWidth="1"/>
    <col min="12" max="12" width="10.85546875" bestFit="1" customWidth="1"/>
    <col min="13" max="13" width="14.140625" customWidth="1"/>
  </cols>
  <sheetData>
    <row r="1" spans="1:15" ht="15.75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  <c r="K1" s="4" t="s">
        <v>96</v>
      </c>
      <c r="L1" s="4" t="s">
        <v>102</v>
      </c>
      <c r="M1" s="5" t="str">
        <f>CONCATENATE("Max ID:",LOOKUP(2,1/(COUNTIF(K2:K1000,"&gt;"&amp;K2:K1000&amp;"*")=0),K2:K1000))</f>
        <v>Max ID:H</v>
      </c>
      <c r="N1" t="s">
        <v>103</v>
      </c>
      <c r="O1" t="s">
        <v>104</v>
      </c>
    </row>
    <row r="2" spans="1:15" x14ac:dyDescent="0.25">
      <c r="A2" t="s">
        <v>36</v>
      </c>
      <c r="B2" t="s">
        <v>36</v>
      </c>
      <c r="C2">
        <v>1</v>
      </c>
      <c r="D2" s="2" t="s">
        <v>57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  <c r="K2" t="s">
        <v>95</v>
      </c>
      <c r="L2" t="s">
        <v>98</v>
      </c>
    </row>
    <row r="3" spans="1:15" x14ac:dyDescent="0.25">
      <c r="A3" t="s">
        <v>37</v>
      </c>
      <c r="B3" t="s">
        <v>36</v>
      </c>
      <c r="C3">
        <v>1</v>
      </c>
      <c r="D3" s="2" t="s">
        <v>57</v>
      </c>
      <c r="E3">
        <v>4</v>
      </c>
      <c r="F3">
        <v>2</v>
      </c>
      <c r="G3">
        <v>30</v>
      </c>
      <c r="H3" t="s">
        <v>85</v>
      </c>
      <c r="I3" t="s">
        <v>7</v>
      </c>
      <c r="J3" s="1" t="str">
        <f>VLOOKUP(I3,Lectures!C$1:E1001,3,FALSE)</f>
        <v>2019-09-17</v>
      </c>
      <c r="K3" t="s">
        <v>95</v>
      </c>
      <c r="L3" t="s">
        <v>98</v>
      </c>
    </row>
    <row r="4" spans="1:15" x14ac:dyDescent="0.25">
      <c r="A4" t="s">
        <v>38</v>
      </c>
      <c r="B4" t="s">
        <v>36</v>
      </c>
      <c r="C4">
        <v>1</v>
      </c>
      <c r="D4" s="2" t="s">
        <v>57</v>
      </c>
      <c r="E4">
        <v>4</v>
      </c>
      <c r="F4">
        <v>3</v>
      </c>
      <c r="G4">
        <v>30</v>
      </c>
      <c r="H4" t="s">
        <v>86</v>
      </c>
      <c r="I4" t="s">
        <v>8</v>
      </c>
      <c r="J4" s="1" t="str">
        <f>VLOOKUP(I4,Lectures!C$1:E1002,3,FALSE)</f>
        <v>2019-10-01</v>
      </c>
      <c r="K4" t="s">
        <v>95</v>
      </c>
      <c r="L4" t="s">
        <v>98</v>
      </c>
    </row>
    <row r="5" spans="1:15" x14ac:dyDescent="0.25">
      <c r="A5" t="s">
        <v>39</v>
      </c>
      <c r="B5" t="s">
        <v>36</v>
      </c>
      <c r="C5">
        <v>1</v>
      </c>
      <c r="D5" s="2" t="s">
        <v>57</v>
      </c>
      <c r="E5">
        <v>4</v>
      </c>
      <c r="F5">
        <v>4</v>
      </c>
      <c r="G5">
        <v>30</v>
      </c>
      <c r="H5" t="s">
        <v>69</v>
      </c>
      <c r="I5" t="s">
        <v>6</v>
      </c>
      <c r="J5" s="1" t="str">
        <f>VLOOKUP(I5,Lectures!C$1:E1003,3,FALSE)</f>
        <v>2019-09-05</v>
      </c>
      <c r="K5" t="s">
        <v>95</v>
      </c>
      <c r="L5" t="s">
        <v>98</v>
      </c>
    </row>
    <row r="6" spans="1:15" x14ac:dyDescent="0.25">
      <c r="B6" t="s">
        <v>36</v>
      </c>
      <c r="C6">
        <v>2</v>
      </c>
      <c r="D6" s="2" t="s">
        <v>58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  <c r="K6" t="s">
        <v>93</v>
      </c>
      <c r="L6" t="s">
        <v>98</v>
      </c>
    </row>
    <row r="7" spans="1:15" x14ac:dyDescent="0.25">
      <c r="B7" t="s">
        <v>36</v>
      </c>
      <c r="C7">
        <v>2</v>
      </c>
      <c r="D7" s="2" t="s">
        <v>58</v>
      </c>
      <c r="E7">
        <v>4</v>
      </c>
      <c r="F7">
        <v>2</v>
      </c>
      <c r="G7">
        <v>30</v>
      </c>
      <c r="H7" t="s">
        <v>70</v>
      </c>
      <c r="I7" t="s">
        <v>7</v>
      </c>
      <c r="J7" s="1" t="str">
        <f>VLOOKUP(I7,Lectures!C$1:E1005,3,FALSE)</f>
        <v>2019-09-17</v>
      </c>
      <c r="K7" t="s">
        <v>93</v>
      </c>
      <c r="L7" t="s">
        <v>98</v>
      </c>
    </row>
    <row r="8" spans="1:15" x14ac:dyDescent="0.25">
      <c r="B8" t="s">
        <v>36</v>
      </c>
      <c r="C8">
        <v>2</v>
      </c>
      <c r="D8" s="2" t="s">
        <v>58</v>
      </c>
      <c r="E8">
        <v>4</v>
      </c>
      <c r="F8">
        <v>3</v>
      </c>
      <c r="G8">
        <v>30</v>
      </c>
      <c r="H8" t="s">
        <v>71</v>
      </c>
      <c r="I8" t="s">
        <v>10</v>
      </c>
      <c r="J8" s="1" t="str">
        <f>VLOOKUP(I8,Lectures!C$1:E1006,3,FALSE)</f>
        <v>2019-10-15</v>
      </c>
      <c r="K8" t="s">
        <v>93</v>
      </c>
      <c r="L8" t="s">
        <v>98</v>
      </c>
    </row>
    <row r="9" spans="1:15" x14ac:dyDescent="0.25">
      <c r="B9" t="s">
        <v>36</v>
      </c>
      <c r="C9">
        <v>2</v>
      </c>
      <c r="D9" s="2" t="s">
        <v>58</v>
      </c>
      <c r="E9">
        <v>4</v>
      </c>
      <c r="F9">
        <v>4</v>
      </c>
      <c r="G9">
        <v>30</v>
      </c>
      <c r="H9" t="s">
        <v>87</v>
      </c>
      <c r="I9" t="s">
        <v>8</v>
      </c>
      <c r="J9" s="1" t="str">
        <f>VLOOKUP(I9,Lectures!C$1:E1007,3,FALSE)</f>
        <v>2019-10-01</v>
      </c>
      <c r="K9" t="s">
        <v>93</v>
      </c>
      <c r="L9" t="s">
        <v>98</v>
      </c>
    </row>
    <row r="10" spans="1:15" x14ac:dyDescent="0.25">
      <c r="B10" t="s">
        <v>36</v>
      </c>
      <c r="C10">
        <v>3</v>
      </c>
      <c r="D10" s="2" t="s">
        <v>41</v>
      </c>
      <c r="E10">
        <v>6</v>
      </c>
      <c r="F10">
        <v>1</v>
      </c>
      <c r="G10">
        <v>15</v>
      </c>
      <c r="H10" t="s">
        <v>72</v>
      </c>
      <c r="I10" t="s">
        <v>6</v>
      </c>
      <c r="J10" s="1" t="str">
        <f>VLOOKUP(I10,Lectures!C$1:E1008,3,FALSE)</f>
        <v>2019-09-05</v>
      </c>
      <c r="L10" t="s">
        <v>99</v>
      </c>
    </row>
    <row r="11" spans="1:15" x14ac:dyDescent="0.25">
      <c r="B11" t="s">
        <v>36</v>
      </c>
      <c r="C11">
        <v>3</v>
      </c>
      <c r="D11" s="2" t="s">
        <v>41</v>
      </c>
      <c r="E11">
        <v>6</v>
      </c>
      <c r="F11">
        <v>2</v>
      </c>
      <c r="G11">
        <v>15</v>
      </c>
      <c r="H11" t="s">
        <v>73</v>
      </c>
      <c r="I11" t="s">
        <v>8</v>
      </c>
      <c r="J11" s="1" t="str">
        <f>VLOOKUP(I11,Lectures!C$1:E1009,3,FALSE)</f>
        <v>2019-10-01</v>
      </c>
    </row>
    <row r="12" spans="1:15" x14ac:dyDescent="0.25">
      <c r="B12" t="s">
        <v>36</v>
      </c>
      <c r="C12">
        <v>3</v>
      </c>
      <c r="D12" s="2" t="s">
        <v>41</v>
      </c>
      <c r="E12">
        <v>6</v>
      </c>
      <c r="F12">
        <v>3</v>
      </c>
      <c r="G12">
        <v>15</v>
      </c>
      <c r="H12" t="s">
        <v>74</v>
      </c>
      <c r="I12" t="s">
        <v>7</v>
      </c>
      <c r="J12" s="1" t="str">
        <f>VLOOKUP(I12,Lectures!C$1:E1010,3,FALSE)</f>
        <v>2019-09-17</v>
      </c>
    </row>
    <row r="13" spans="1:15" x14ac:dyDescent="0.25">
      <c r="B13" t="s">
        <v>36</v>
      </c>
      <c r="C13">
        <v>3</v>
      </c>
      <c r="D13" s="2" t="s">
        <v>41</v>
      </c>
      <c r="E13">
        <v>6</v>
      </c>
      <c r="F13">
        <v>4</v>
      </c>
      <c r="G13">
        <v>15</v>
      </c>
      <c r="H13" t="s">
        <v>88</v>
      </c>
      <c r="I13" t="s">
        <v>10</v>
      </c>
      <c r="J13" s="1" t="str">
        <f>VLOOKUP(I13,Lectures!C$1:E1011,3,FALSE)</f>
        <v>2019-10-15</v>
      </c>
    </row>
    <row r="14" spans="1:15" x14ac:dyDescent="0.25">
      <c r="B14" t="s">
        <v>36</v>
      </c>
      <c r="C14">
        <v>3</v>
      </c>
      <c r="D14" s="2" t="s">
        <v>41</v>
      </c>
      <c r="E14">
        <v>6</v>
      </c>
      <c r="F14">
        <v>5</v>
      </c>
      <c r="G14">
        <v>15</v>
      </c>
      <c r="H14" t="s">
        <v>75</v>
      </c>
      <c r="I14" t="s">
        <v>6</v>
      </c>
      <c r="J14" s="1" t="str">
        <f>VLOOKUP(I14,Lectures!C$1:E1012,3,FALSE)</f>
        <v>2019-09-05</v>
      </c>
    </row>
    <row r="15" spans="1:15" x14ac:dyDescent="0.25">
      <c r="B15" t="s">
        <v>36</v>
      </c>
      <c r="C15">
        <v>3</v>
      </c>
      <c r="D15" s="2" t="s">
        <v>41</v>
      </c>
      <c r="E15">
        <v>6</v>
      </c>
      <c r="F15">
        <v>6</v>
      </c>
      <c r="G15">
        <v>15</v>
      </c>
      <c r="H15" t="s">
        <v>76</v>
      </c>
      <c r="I15" t="s">
        <v>7</v>
      </c>
      <c r="J15" s="1" t="str">
        <f>VLOOKUP(I15,Lectures!C$1:E1013,3,FALSE)</f>
        <v>2019-09-17</v>
      </c>
      <c r="L15" t="s">
        <v>99</v>
      </c>
    </row>
    <row r="16" spans="1:15" x14ac:dyDescent="0.25">
      <c r="B16" t="s">
        <v>37</v>
      </c>
      <c r="C16">
        <v>4</v>
      </c>
      <c r="D16" s="2" t="s">
        <v>59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  <c r="K16" t="s">
        <v>94</v>
      </c>
      <c r="L16" t="s">
        <v>98</v>
      </c>
    </row>
    <row r="17" spans="2:14" x14ac:dyDescent="0.25">
      <c r="B17" t="s">
        <v>37</v>
      </c>
      <c r="C17">
        <v>4</v>
      </c>
      <c r="D17" s="2" t="s">
        <v>59</v>
      </c>
      <c r="E17">
        <v>4</v>
      </c>
      <c r="F17">
        <v>2</v>
      </c>
      <c r="G17">
        <v>30</v>
      </c>
      <c r="H17" t="s">
        <v>76</v>
      </c>
      <c r="I17" t="s">
        <v>7</v>
      </c>
      <c r="J17" s="1" t="str">
        <f>VLOOKUP(I17,Lectures!C$1:E1015,3,FALSE)</f>
        <v>2019-09-17</v>
      </c>
      <c r="K17" t="s">
        <v>94</v>
      </c>
      <c r="L17" t="s">
        <v>98</v>
      </c>
    </row>
    <row r="18" spans="2:14" x14ac:dyDescent="0.25">
      <c r="B18" t="s">
        <v>37</v>
      </c>
      <c r="C18">
        <v>4</v>
      </c>
      <c r="D18" s="2" t="s">
        <v>59</v>
      </c>
      <c r="E18">
        <v>4</v>
      </c>
      <c r="F18">
        <v>3</v>
      </c>
      <c r="G18">
        <v>30</v>
      </c>
      <c r="H18" t="s">
        <v>77</v>
      </c>
      <c r="I18" t="s">
        <v>7</v>
      </c>
      <c r="J18" s="1" t="str">
        <f>VLOOKUP(I18,Lectures!C$1:E1016,3,FALSE)</f>
        <v>2019-09-17</v>
      </c>
      <c r="K18" t="s">
        <v>94</v>
      </c>
      <c r="L18" t="s">
        <v>98</v>
      </c>
    </row>
    <row r="19" spans="2:14" x14ac:dyDescent="0.25">
      <c r="B19" t="s">
        <v>37</v>
      </c>
      <c r="C19">
        <v>4</v>
      </c>
      <c r="D19" s="2" t="s">
        <v>59</v>
      </c>
      <c r="E19">
        <v>4</v>
      </c>
      <c r="F19">
        <v>4</v>
      </c>
      <c r="G19">
        <v>30</v>
      </c>
      <c r="H19" t="s">
        <v>89</v>
      </c>
      <c r="I19" t="s">
        <v>8</v>
      </c>
      <c r="J19" s="1" t="str">
        <f>VLOOKUP(I19,Lectures!C$1:E1017,3,FALSE)</f>
        <v>2019-10-01</v>
      </c>
      <c r="K19" t="s">
        <v>94</v>
      </c>
      <c r="L19" t="s">
        <v>98</v>
      </c>
    </row>
    <row r="20" spans="2:14" x14ac:dyDescent="0.25">
      <c r="B20" t="s">
        <v>37</v>
      </c>
      <c r="C20">
        <v>5</v>
      </c>
      <c r="D20" s="2" t="s">
        <v>60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  <c r="K20" t="s">
        <v>101</v>
      </c>
      <c r="L20" t="s">
        <v>98</v>
      </c>
    </row>
    <row r="21" spans="2:14" x14ac:dyDescent="0.25">
      <c r="B21" t="s">
        <v>37</v>
      </c>
      <c r="C21">
        <v>5</v>
      </c>
      <c r="D21" s="2" t="s">
        <v>60</v>
      </c>
      <c r="E21">
        <v>4</v>
      </c>
      <c r="F21">
        <v>2</v>
      </c>
      <c r="G21">
        <v>30</v>
      </c>
      <c r="H21" t="s">
        <v>90</v>
      </c>
      <c r="I21" t="s">
        <v>6</v>
      </c>
      <c r="J21" s="1" t="str">
        <f>VLOOKUP(I21,Lectures!C$1:E1019,3,FALSE)</f>
        <v>2019-09-05</v>
      </c>
      <c r="K21" t="s">
        <v>101</v>
      </c>
      <c r="L21" t="s">
        <v>98</v>
      </c>
    </row>
    <row r="22" spans="2:14" x14ac:dyDescent="0.25">
      <c r="B22" t="s">
        <v>37</v>
      </c>
      <c r="C22">
        <v>5</v>
      </c>
      <c r="D22" s="2" t="s">
        <v>60</v>
      </c>
      <c r="E22">
        <v>4</v>
      </c>
      <c r="F22">
        <v>3</v>
      </c>
      <c r="G22">
        <v>30</v>
      </c>
      <c r="H22" t="s">
        <v>78</v>
      </c>
      <c r="I22" t="s">
        <v>8</v>
      </c>
      <c r="J22" s="1" t="str">
        <f>VLOOKUP(I22,Lectures!C$1:E1020,3,FALSE)</f>
        <v>2019-10-01</v>
      </c>
      <c r="K22" t="s">
        <v>101</v>
      </c>
      <c r="L22" t="s">
        <v>98</v>
      </c>
    </row>
    <row r="23" spans="2:14" x14ac:dyDescent="0.25">
      <c r="B23" t="s">
        <v>37</v>
      </c>
      <c r="C23">
        <v>5</v>
      </c>
      <c r="D23" s="2" t="s">
        <v>60</v>
      </c>
      <c r="E23">
        <v>4</v>
      </c>
      <c r="F23">
        <v>4</v>
      </c>
      <c r="G23">
        <v>30</v>
      </c>
      <c r="H23" t="s">
        <v>91</v>
      </c>
      <c r="I23" t="s">
        <v>6</v>
      </c>
      <c r="J23" s="1" t="str">
        <f>VLOOKUP(I23,Lectures!C$1:E1021,3,FALSE)</f>
        <v>2019-09-05</v>
      </c>
      <c r="K23" t="s">
        <v>101</v>
      </c>
      <c r="L23" t="s">
        <v>98</v>
      </c>
    </row>
    <row r="24" spans="2:14" x14ac:dyDescent="0.25">
      <c r="B24" t="s">
        <v>38</v>
      </c>
      <c r="C24">
        <v>6</v>
      </c>
      <c r="D24" s="2" t="s">
        <v>61</v>
      </c>
      <c r="E24">
        <v>2</v>
      </c>
      <c r="F24">
        <v>1</v>
      </c>
      <c r="G24">
        <v>50</v>
      </c>
      <c r="H24" t="s">
        <v>79</v>
      </c>
      <c r="I24" t="s">
        <v>8</v>
      </c>
      <c r="J24" s="1" t="str">
        <f>VLOOKUP(I24,Lectures!C$1:E1022,3,FALSE)</f>
        <v>2019-10-01</v>
      </c>
      <c r="K24" t="s">
        <v>92</v>
      </c>
      <c r="L24" t="s">
        <v>98</v>
      </c>
    </row>
    <row r="25" spans="2:14" x14ac:dyDescent="0.25">
      <c r="B25" t="s">
        <v>38</v>
      </c>
      <c r="C25">
        <v>6</v>
      </c>
      <c r="D25" s="2" t="s">
        <v>61</v>
      </c>
      <c r="E25">
        <v>2</v>
      </c>
      <c r="F25">
        <v>2</v>
      </c>
      <c r="G25">
        <v>50</v>
      </c>
      <c r="H25" t="s">
        <v>80</v>
      </c>
      <c r="I25" t="s">
        <v>8</v>
      </c>
      <c r="J25" s="1" t="str">
        <f>VLOOKUP(I25,Lectures!C$1:E1023,3,FALSE)</f>
        <v>2019-10-01</v>
      </c>
      <c r="K25" t="s">
        <v>92</v>
      </c>
      <c r="L25" t="s">
        <v>98</v>
      </c>
    </row>
    <row r="26" spans="2:14" x14ac:dyDescent="0.25">
      <c r="B26" t="s">
        <v>38</v>
      </c>
      <c r="C26">
        <v>7</v>
      </c>
      <c r="D26" s="2" t="s">
        <v>62</v>
      </c>
      <c r="E26">
        <v>2</v>
      </c>
      <c r="F26">
        <v>1</v>
      </c>
      <c r="G26">
        <v>50</v>
      </c>
      <c r="H26" t="s">
        <v>81</v>
      </c>
      <c r="I26" t="s">
        <v>6</v>
      </c>
      <c r="J26" s="1" t="str">
        <f>VLOOKUP(I26,Lectures!C$1:E1024,3,FALSE)</f>
        <v>2019-09-05</v>
      </c>
      <c r="K26" t="s">
        <v>100</v>
      </c>
      <c r="L26" t="s">
        <v>98</v>
      </c>
    </row>
    <row r="27" spans="2:14" x14ac:dyDescent="0.25">
      <c r="B27" t="s">
        <v>38</v>
      </c>
      <c r="C27">
        <v>7</v>
      </c>
      <c r="D27" s="2" t="s">
        <v>62</v>
      </c>
      <c r="E27">
        <v>2</v>
      </c>
      <c r="F27">
        <v>2</v>
      </c>
      <c r="G27">
        <v>50</v>
      </c>
      <c r="H27" t="s">
        <v>42</v>
      </c>
      <c r="I27" t="s">
        <v>8</v>
      </c>
      <c r="J27" s="1" t="str">
        <f>VLOOKUP(I27,Lectures!C$1:E1025,3,FALSE)</f>
        <v>2019-10-01</v>
      </c>
      <c r="K27" t="s">
        <v>100</v>
      </c>
      <c r="L27" t="s">
        <v>98</v>
      </c>
    </row>
    <row r="28" spans="2:14" x14ac:dyDescent="0.25">
      <c r="B28" t="s">
        <v>38</v>
      </c>
      <c r="C28">
        <v>8</v>
      </c>
      <c r="D28" s="2" t="s">
        <v>63</v>
      </c>
      <c r="E28">
        <v>2</v>
      </c>
      <c r="F28">
        <v>1</v>
      </c>
      <c r="G28">
        <v>50</v>
      </c>
      <c r="H28" t="s">
        <v>43</v>
      </c>
      <c r="I28" t="s">
        <v>8</v>
      </c>
      <c r="J28" s="1" t="str">
        <f>VLOOKUP(I28,Lectures!C$1:E1026,3,FALSE)</f>
        <v>2019-10-01</v>
      </c>
      <c r="K28" t="s">
        <v>105</v>
      </c>
      <c r="L28" t="s">
        <v>97</v>
      </c>
      <c r="N28" t="s">
        <v>106</v>
      </c>
    </row>
    <row r="29" spans="2:14" x14ac:dyDescent="0.25">
      <c r="B29" t="s">
        <v>38</v>
      </c>
      <c r="C29">
        <v>8</v>
      </c>
      <c r="D29" s="2" t="s">
        <v>63</v>
      </c>
      <c r="E29">
        <v>2</v>
      </c>
      <c r="F29">
        <v>2</v>
      </c>
      <c r="G29">
        <v>50</v>
      </c>
      <c r="H29" t="s">
        <v>82</v>
      </c>
      <c r="I29" t="s">
        <v>7</v>
      </c>
      <c r="J29" s="1" t="str">
        <f>VLOOKUP(I29,Lectures!C$1:E1027,3,FALSE)</f>
        <v>2019-09-17</v>
      </c>
      <c r="K29" t="s">
        <v>105</v>
      </c>
      <c r="L29" t="s">
        <v>98</v>
      </c>
      <c r="N29" t="s">
        <v>107</v>
      </c>
    </row>
    <row r="30" spans="2:14" x14ac:dyDescent="0.25">
      <c r="J30" s="1" t="e">
        <f>VLOOKUP(I30,Lectures!C$1:E1028,3,FALSE)</f>
        <v>#N/A</v>
      </c>
    </row>
    <row r="31" spans="2:14" x14ac:dyDescent="0.25">
      <c r="J31" s="1" t="e">
        <f>VLOOKUP(I31,Lectures!C$1:E1029,3,FALSE)</f>
        <v>#N/A</v>
      </c>
    </row>
    <row r="32" spans="2:14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64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2019-10-21T18:43:29Z</dcterms:modified>
</cp:coreProperties>
</file>